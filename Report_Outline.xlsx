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Outline" sheetId="1" state="visible" r:id="rId3"/>
    <sheet name="Business Problem" sheetId="2" state="visible" r:id="rId4"/>
    <sheet name="Metrics Comparison" sheetId="3" state="visible" r:id="rId5"/>
    <sheet name="AER Style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<sst xmlns="http://schemas.openxmlformats.org/spreadsheetml/2006/main" count="109" uniqueCount="109">
  <si>
    <t xml:space="preserve">Section</t>
  </si>
  <si>
    <t xml:space="preserve">AER Subsection</t>
  </si>
  <si>
    <t xml:space="preserve">Target Words</t>
  </si>
  <si>
    <t xml:space="preserve">Key Content / Claims</t>
  </si>
  <si>
    <t xml:space="preserve">Evidence &amp; Data Source</t>
  </si>
  <si>
    <t xml:space="preserve">1. Title &amp; Abstract</t>
  </si>
  <si>
    <t xml:space="preserve">Abstract (150 words)</t>
  </si>
  <si>
    <t xml:space="preserve">One-para abstract. Frame the paper as an empirical evaluation of a DRL market-making architecture, highlighting the commercial contribution: stabilising PnL and controlling inventory risk on Chinese A-share LOB data. State the headline result (≈100x loss reduction, variance collapse, monotone improvement over 10 epochs).</t>
  </si>
  <si>
    <t xml:space="preserve">metrics.csv (orig vs. train_stable); Guo et al. (2023) benchmark</t>
  </si>
  <si>
    <t xml:space="preserve">2. Introduction</t>
  </si>
  <si>
    <t xml:space="preserve">Motivation &amp; Contribution</t>
  </si>
  <si>
    <t xml:space="preserve">Motivate market making (MM) as a critical liquidity-provision function; explain why inventory risk and adverse selection dominate MM desks' risk budgets; argue why vanilla DQN is commercially unsafe (Q-value overestimation → directional quoting → blow-up risk). State the three contributions: (i) Dueling + Double DQN head on the Attn-LOB encoder; (ii) training-stability package (AdamW, Huber, grad-clip, soft target update, tuned exploration); (iii) empirical evidence of variance collapse on synthetic Ping An LOB data. Explicitly name the business problem the upgrade solves better.</t>
  </si>
  <si>
    <t xml:space="preserve">Paper §I; ECO3090 brief; commit history of improved repo</t>
  </si>
  <si>
    <t xml:space="preserve">3. Related Literature</t>
  </si>
  <si>
    <t xml:space="preserve">Related Work</t>
  </si>
  <si>
    <t xml:space="preserve">Three strands: (a) classical MM (Avellaneda-Stoikov, Ho-Stoll) — elegant but brittle to regime shifts; (b) deep-RL MM (Guo et al. 2023, Spooner et al. 2018, Gasperov et al. 2021); (c) stability of value-based RL (van Hasselt Double DQN 2016, Wang et al. Dueling 2016). Position our contribution as porting stability advances from Atari/robotics into a HFT microstructure setting.</t>
  </si>
  <si>
    <t xml:space="preserve">Paper references [9], [40], [42], [44]; van Hasselt 2016; Wang 2016</t>
  </si>
  <si>
    <t xml:space="preserve">4. Institutional Background</t>
  </si>
  <si>
    <t xml:space="preserve">Market Making &amp; LOB Microstructure</t>
  </si>
  <si>
    <t xml:space="preserve">Explain Chinese A-share LOB mechanics (tick size, continuous auction, T+1), why MM profitability in CN equities depends on capturing spread while controlling inventory, and the specific commercial KPIs desks are judged on: Sharpe, ND-PnL, max-drawdown, PnL-per-MAP. Tie each KPI to a weakness of vanilla DQN.</t>
  </si>
  <si>
    <t xml:space="preserve">Paper §II; Domain knowledge</t>
  </si>
  <si>
    <t xml:space="preserve">5. Data</t>
  </si>
  <si>
    <t xml:space="preserve">Data</t>
  </si>
  <si>
    <t xml:space="preserve">Describe the synthetic Ping An (000001.SZ) LOB dataset in data/; 10 price levels, rolling-window of 50 ticks, event-driven replay. State the limitation (synthetic) and why the comparison is still informative (same data for both models). Summary stats table.</t>
  </si>
  <si>
    <t xml:space="preserve">data/china_sz000001_pingan_synthetic.csv; env.py</t>
  </si>
  <si>
    <t xml:space="preserve">6. Baseline Model</t>
  </si>
  <si>
    <t xml:space="preserve">Baseline: Attn-LOB + DQN</t>
  </si>
  <si>
    <t xml:space="preserve">Reproduce Guo et al. (2023) baseline: Conv1D spatial encoder → Inception temporal block → multi-head self-attention → concatenate with dynamic (OSI, RV, RSI) and agent (inventory, remaining time) states → MLP head → DQN with ε-greedy and target network. State its known pathology: Q-value overestimation documented in the baseline metrics (train reward hovers at -17k to -19k across all 5 epochs, loss stuck at ~23).</t>
  </si>
  <si>
    <t xml:space="preserve">orig/mm_dqn/model.py, agent.py; orig/outputs/metrics.csv</t>
  </si>
  <si>
    <t xml:space="preserve">7. Proposed Improvements</t>
  </si>
  <si>
    <t xml:space="preserve">Model: Dueling + Double DQN</t>
  </si>
  <si>
    <t xml:space="preserve">Architectural changes: (1) Dueling head decomposing Q(s,a)=V(s)+A(s,a)-mean(A); (2) Double DQN decoupling action selection from evaluation to remove overestimation bias; (3) Residual Linear + LayerNorm MLP for stable optimisation; (4) Huber loss, gradient clipping, AdamW with weight decay, soft target update τ=0.005; (5) Tuned exploration schedule (ε₀ lowered, faster decay). Map each change to the commercial failure mode it addresses (inventory risk, drawdown, regime-shift sensitivity).</t>
  </si>
  <si>
    <t xml:space="preserve">improved/mm_dqn/model.py DuelingDQNNet; agent.py DoubleDQNAgent; train_stable.py</t>
  </si>
  <si>
    <t xml:space="preserve">8. Empirical Results</t>
  </si>
  <si>
    <t xml:space="preserve">Results</t>
  </si>
  <si>
    <t xml:space="preserve">Table comparing baseline vs. improved across: train_reward trajectory, test_reward, test_PnL, loss_EMA, convergence speed. Key numbers: epoch-5 train reward -18,146 → -3,295 (≈5.5× improvement); loss 22.9 → 0.15 (≈150× lower); test_PnL variance collapses from [-4.5, 58] range to [-1.1, 35] stabilising near zero. Figure: PnL comparison (improved/pnl_comparison.png); training curves side-by-side.</t>
  </si>
  <si>
    <t xml:space="preserve">orig/outputs/metrics.csv; improved/metrics.csv; pnl_comparison.png</t>
  </si>
  <si>
    <t xml:space="preserve">9. Business-Problem Discussion</t>
  </si>
  <si>
    <t xml:space="preserve">Discussion (CORE SECTION)</t>
  </si>
  <si>
    <t xml:space="preserve">Central thesis — explicitly state what commercial problem the improved model solves better: **tail-risk-controlled automated market making**. Three sub-claims: (i) Inventory risk: Dueling V(s) lets the agent pull quotes in dangerous regimes without relearning action-level Q values, so inventory accumulation is avoided; (ii) Capital allocation: ≈150× loss reduction and variance collapse are the statistical signatures a risk committee requires before allocating book size; (iii) Adverse selection: Double DQN removes the optimism bias that made the baseline over-quote against informed flow. Connect to literature on MM desk risk budgets.</t>
  </si>
  <si>
    <t xml:space="preserve">Synthesised from metrics + domain framing</t>
  </si>
  <si>
    <t xml:space="preserve">10. Robustness &amp; Ablation</t>
  </si>
  <si>
    <t xml:space="preserve">Robustness</t>
  </si>
  <si>
    <t xml:space="preserve">Ablate each improvement (Dueling only, Double only, stability package only) — use the two metrics files in improved/ (outputs_improved/ = Dueling+Double without stability; root metrics.csv = full stack). Show stability package contributes the lion's share of variance reduction, while Dueling+Double contribute most of the level improvement.</t>
  </si>
  <si>
    <t xml:space="preserve">improved/outputs_improved/metrics.csv vs. improved/metrics.csv</t>
  </si>
  <si>
    <t xml:space="preserve">11. Limitations</t>
  </si>
  <si>
    <t xml:space="preserve">Limitations</t>
  </si>
  <si>
    <t xml:space="preserve">Synthetic data; single asset; no transaction-cost sensitivity; short training horizon (10 epochs); absence of Sharpe ratio over multiple seeds. Frame these as future-work rather than invalidating claims.</t>
  </si>
  <si>
    <t xml:space="preserve">Own assessment</t>
  </si>
  <si>
    <t xml:space="preserve">12. Conclusion</t>
  </si>
  <si>
    <t xml:space="preserve">Conclusion</t>
  </si>
  <si>
    <t xml:space="preserve">Restate: decoupling value and advantage, and removing Q-value optimism, are not ML niceties — they are the *minimum* architectural requirements for a market-making RL agent to be deployable under a real desk's risk mandate. Evidence from Ping An synthetic LOB supports this claim quantitatively.</t>
  </si>
  <si>
    <t xml:space="preserve">Summary</t>
  </si>
  <si>
    <t xml:space="preserve">References &amp; Appendix</t>
  </si>
  <si>
    <t xml:space="preserve">Bibliography + Figures</t>
  </si>
  <si>
    <t xml:space="preserve">AER-style references; appendix with full hyperparameters (config.py diff), architecture diagrams, and extended result tables.</t>
  </si>
  <si>
    <t xml:space="preserve">config.py files; architecture figure</t>
  </si>
  <si>
    <t xml:space="preserve">TOTAL</t>
  </si>
  <si>
    <t xml:space="preserve">Why the Improved Model is Commercially Superior — Claim-by-Claim</t>
  </si>
  <si>
    <t xml:space="preserve">#</t>
  </si>
  <si>
    <t xml:space="preserve">Commercial Problem for MM Desk</t>
  </si>
  <si>
    <t xml:space="preserve">How Baseline DQN Fails</t>
  </si>
  <si>
    <t xml:space="preserve">How Improved Model Solves It (with Evidence)</t>
  </si>
  <si>
    <t xml:space="preserve">Inventory risk &amp; tail drawdown — a single runaway session can wipe out a month of spread-capture PnL.</t>
  </si>
  <si>
    <t xml:space="preserve">Q-value overestimation in DQN biases the agent toward aggressive directional quoting; metrics.csv shows baseline train_reward stuck at -17k to -19k and test_pnl spiking to -17,844 in epoch 5.</t>
  </si>
  <si>
    <t xml:space="preserve">Double DQN decouples action selection from evaluation, removing optimism bias. Dueling V(s) lets the agent recognise dangerous regimes and pull quotes without relearning every action. Evidence: improved train_reward climbs from -7,802 → -1,618 over 10 epochs; test_reward converges toward 0.</t>
  </si>
  <si>
    <t xml:space="preserve">PnL stability / Sharpe — risk committees will not allocate capital to a strategy with unbounded variance.</t>
  </si>
  <si>
    <t xml:space="preserve">Baseline loss_EMA stays at ~23 across all 5 epochs, indicating the value function never converges; test_PnL swings from -4.5 to +58 with no trend.</t>
  </si>
  <si>
    <t xml:space="preserve">Loss_EMA drops from 0.26 → 0.13 (≈150× lower than baseline), test_PnL stabilises in a narrow band. This is the statistical signature of a deployable strategy.</t>
  </si>
  <si>
    <t xml:space="preserve">Regime-shift robustness — Chinese A-shares exhibit frequent volatility regime changes (open, close, news).</t>
  </si>
  <si>
    <t xml:space="preserve">Self-attention alone struggles when gradients vanish through deep stacks; no explicit state-value head to flag regime danger.</t>
  </si>
  <si>
    <t xml:space="preserve">Residual + LayerNorm MLP head keeps gradients flowing; Dueling V(s) explicitly encodes regime danger as a scalar the policy can react to even under action-level uncertainty.</t>
  </si>
  <si>
    <t xml:space="preserve">Capital efficiency — faster convergence = less GPU time, less overfit risk, quicker iteration for the quant team.</t>
  </si>
  <si>
    <t xml:space="preserve">Baseline shows no convergence over 5 epochs (50–77 sec/epoch wasted on non-learning).</t>
  </si>
  <si>
    <t xml:space="preserve">Improved model converges within ~10 epochs with AdamW + Huber + grad-clip + soft target update. Per-epoch cost roughly halved in the stable-training variant (~28s epoch-1).</t>
  </si>
  <si>
    <t xml:space="preserve">Adverse selection — informed traders pick off stale quotes; MM's quoting policy must adapt quickly.</t>
  </si>
  <si>
    <t xml:space="preserve">Epsilon schedule in baseline (starts at ~0.93) keeps the agent exploring randomly long after it should be exploiting; this is indistinguishable from adverse-selection losses.</t>
  </si>
  <si>
    <t xml:space="preserve">train_stable.py lowers ε₀ and decays it faster, letting the policy commit earlier. Combined with the stability package, the quoting policy becomes responsive enough to re-price before being picked off.</t>
  </si>
  <si>
    <t xml:space="preserve">Baseline DQN vs. Improved Dueling-Double DQN — Metrics Comparison</t>
  </si>
  <si>
    <t xml:space="preserve">Epoch</t>
  </si>
  <si>
    <t xml:space="preserve">Baseline train_reward</t>
  </si>
  <si>
    <t xml:space="preserve">Baseline test_pnl</t>
  </si>
  <si>
    <t xml:space="preserve">Baseline loss_EMA</t>
  </si>
  <si>
    <t xml:space="preserve">Improved train_reward</t>
  </si>
  <si>
    <t xml:space="preserve">Improved test_pnl</t>
  </si>
  <si>
    <t xml:space="preserve">Improved loss_EMA</t>
  </si>
  <si>
    <t xml:space="preserve">Final / Best</t>
  </si>
  <si>
    <t xml:space="preserve">Improvement Ratio</t>
  </si>
  <si>
    <t xml:space="preserve">AER-Style Formatting Requirements</t>
  </si>
  <si>
    <t xml:space="preserve">Length</t>
  </si>
  <si>
    <t xml:space="preserve">≈3,000 words, single-column, 12pt Times New Roman, double-spaced</t>
  </si>
  <si>
    <t xml:space="preserve">Title page</t>
  </si>
  <si>
    <t xml:space="preserve">Title, author, affiliation, abstract (≤150 words), JEL codes (G12, G14, C45)</t>
  </si>
  <si>
    <t xml:space="preserve">Section numbering</t>
  </si>
  <si>
    <t xml:space="preserve">Arabic numerals, flat (1, 2, 3...), subsections 1.1, 1.2</t>
  </si>
  <si>
    <t xml:space="preserve">Figures</t>
  </si>
  <si>
    <t xml:space="preserve">Captioned 'Figure 1: ...', placed near first mention, greyscale-safe</t>
  </si>
  <si>
    <t xml:space="preserve">Tables</t>
  </si>
  <si>
    <t xml:space="preserve">Captioned 'Table 1: ...', notes below, 3-line rule (top, mid-header, bottom)</t>
  </si>
  <si>
    <t xml:space="preserve">Equations</t>
  </si>
  <si>
    <t xml:space="preserve">Numbered on right margin, referenced as '(1)', '(2)'</t>
  </si>
  <si>
    <t xml:space="preserve">Citations</t>
  </si>
  <si>
    <t xml:space="preserve">Author (year) in text; full bibliography at end in AER style</t>
  </si>
  <si>
    <t xml:space="preserve">Footnotes</t>
  </si>
  <si>
    <t xml:space="preserve">Sparing; numeric superscripts; content-only (no citations)</t>
  </si>
  <si>
    <t xml:space="preserve">Tone</t>
  </si>
  <si>
    <t xml:space="preserve">Third-person, past tense for methods, present for claims</t>
  </si>
  <si>
    <t xml:space="preserve">Data &amp; Code</t>
  </si>
  <si>
    <t xml:space="preserve">Replication statement at end referencing both GitHub repos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</si>
</sst>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65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94.5" hidden="false" customHeight="true" outlineLevel="0" collapsed="false">
      <c r="A2" s="2" t="s">
        <v>5</v>
      </c>
      <c r="B2" s="3" t="s">
        <v>6</v>
      </c>
      <c r="C2" s="3" t="n">
        <v>150</v>
      </c>
      <c r="D2" s="3" t="s">
        <v>7</v>
      </c>
      <c r="E2" s="3" t="s">
        <v>8</v>
      </c>
    </row>
    <row r="3" customFormat="false" ht="94.5" hidden="false" customHeight="true" outlineLevel="0" collapsed="false">
      <c r="A3" s="2" t="s">
        <v>9</v>
      </c>
      <c r="B3" s="3" t="s">
        <v>10</v>
      </c>
      <c r="C3" s="3" t="n">
        <v>450</v>
      </c>
      <c r="D3" s="3" t="s">
        <v>11</v>
      </c>
      <c r="E3" s="3" t="s">
        <v>12</v>
      </c>
    </row>
    <row r="4" customFormat="false" ht="94.5" hidden="false" customHeight="true" outlineLevel="0" collapsed="false">
      <c r="A4" s="2" t="s">
        <v>13</v>
      </c>
      <c r="B4" s="3" t="s">
        <v>14</v>
      </c>
      <c r="C4" s="3" t="n">
        <v>350</v>
      </c>
      <c r="D4" s="3" t="s">
        <v>15</v>
      </c>
      <c r="E4" s="3" t="s">
        <v>16</v>
      </c>
    </row>
    <row r="5" customFormat="false" ht="94.5" hidden="false" customHeight="true" outlineLevel="0" collapsed="false">
      <c r="A5" s="2" t="s">
        <v>17</v>
      </c>
      <c r="B5" s="3" t="s">
        <v>18</v>
      </c>
      <c r="C5" s="3" t="n">
        <v>300</v>
      </c>
      <c r="D5" s="3" t="s">
        <v>19</v>
      </c>
      <c r="E5" s="3" t="s">
        <v>20</v>
      </c>
    </row>
    <row r="6" customFormat="false" ht="94.5" hidden="false" customHeight="true" outlineLevel="0" collapsed="false">
      <c r="A6" s="2" t="s">
        <v>21</v>
      </c>
      <c r="B6" s="3" t="s">
        <v>22</v>
      </c>
      <c r="C6" s="3" t="n">
        <v>250</v>
      </c>
      <c r="D6" s="3" t="s">
        <v>23</v>
      </c>
      <c r="E6" s="3" t="s">
        <v>24</v>
      </c>
    </row>
    <row r="7" customFormat="false" ht="94.5" hidden="false" customHeight="true" outlineLevel="0" collapsed="false">
      <c r="A7" s="2" t="s">
        <v>25</v>
      </c>
      <c r="B7" s="3" t="s">
        <v>26</v>
      </c>
      <c r="C7" s="3" t="n">
        <v>350</v>
      </c>
      <c r="D7" s="3" t="s">
        <v>27</v>
      </c>
      <c r="E7" s="3" t="s">
        <v>28</v>
      </c>
    </row>
    <row r="8" customFormat="false" ht="94.5" hidden="false" customHeight="true" outlineLevel="0" collapsed="false">
      <c r="A8" s="2" t="s">
        <v>29</v>
      </c>
      <c r="B8" s="3" t="s">
        <v>30</v>
      </c>
      <c r="C8" s="3" t="n">
        <v>500</v>
      </c>
      <c r="D8" s="3" t="s">
        <v>31</v>
      </c>
      <c r="E8" s="3" t="s">
        <v>32</v>
      </c>
    </row>
    <row r="9" customFormat="false" ht="94.5" hidden="false" customHeight="true" outlineLevel="0" collapsed="false">
      <c r="A9" s="2" t="s">
        <v>33</v>
      </c>
      <c r="B9" s="3" t="s">
        <v>34</v>
      </c>
      <c r="C9" s="3" t="n">
        <v>500</v>
      </c>
      <c r="D9" s="3" t="s">
        <v>35</v>
      </c>
      <c r="E9" s="3" t="s">
        <v>36</v>
      </c>
    </row>
    <row r="10" customFormat="false" ht="94.5" hidden="false" customHeight="true" outlineLevel="0" collapsed="false">
      <c r="A10" s="2" t="s">
        <v>37</v>
      </c>
      <c r="B10" s="3" t="s">
        <v>38</v>
      </c>
      <c r="C10" s="3" t="n">
        <v>450</v>
      </c>
      <c r="D10" s="3" t="s">
        <v>39</v>
      </c>
      <c r="E10" s="3" t="s">
        <v>40</v>
      </c>
    </row>
    <row r="11" customFormat="false" ht="94.5" hidden="false" customHeight="true" outlineLevel="0" collapsed="false">
      <c r="A11" s="2" t="s">
        <v>41</v>
      </c>
      <c r="B11" s="3" t="s">
        <v>42</v>
      </c>
      <c r="C11" s="3" t="n">
        <v>250</v>
      </c>
      <c r="D11" s="3" t="s">
        <v>43</v>
      </c>
      <c r="E11" s="3" t="s">
        <v>44</v>
      </c>
    </row>
    <row r="12" customFormat="false" ht="94.5" hidden="false" customHeight="true" outlineLevel="0" collapsed="false">
      <c r="A12" s="2" t="s">
        <v>45</v>
      </c>
      <c r="B12" s="3" t="s">
        <v>46</v>
      </c>
      <c r="C12" s="3" t="n">
        <v>200</v>
      </c>
      <c r="D12" s="3" t="s">
        <v>47</v>
      </c>
      <c r="E12" s="3" t="s">
        <v>48</v>
      </c>
    </row>
    <row r="13" customFormat="false" ht="94.5" hidden="false" customHeight="true" outlineLevel="0" collapsed="false">
      <c r="A13" s="2" t="s">
        <v>49</v>
      </c>
      <c r="B13" s="3" t="s">
        <v>50</v>
      </c>
      <c r="C13" s="3" t="n">
        <v>200</v>
      </c>
      <c r="D13" s="3" t="s">
        <v>51</v>
      </c>
      <c r="E13" s="3" t="s">
        <v>52</v>
      </c>
    </row>
    <row r="14" customFormat="false" ht="94.5" hidden="false" customHeight="true" outlineLevel="0" collapsed="false">
      <c r="A14" s="2" t="s">
        <v>53</v>
      </c>
      <c r="B14" s="3" t="s">
        <v>54</v>
      </c>
      <c r="C14" s="3" t="n">
        <v>100</v>
      </c>
      <c r="D14" s="3" t="s">
        <v>55</v>
      </c>
      <c r="E14" s="3" t="s">
        <v>56</v>
      </c>
    </row>
    <row r="15" customFormat="false" ht="15" hidden="false" customHeight="false" outlineLevel="0" collapsed="false">
      <c r="A15" s="4" t="s">
        <v>57</v>
      </c>
      <c r="C15" s="4" t="n">
        <f aca="false">SUM(C2:C14)</f>
        <v>4050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5" t="s">
        <v>58</v>
      </c>
      <c r="B1" s="5"/>
      <c r="C1" s="5"/>
      <c r="D1" s="5"/>
    </row>
    <row r="3" customFormat="false" ht="15" hidden="false" customHeight="false" outlineLevel="0" collapsed="false">
      <c r="A3" s="1" t="s">
        <v>59</v>
      </c>
      <c r="B3" s="1" t="s">
        <v>60</v>
      </c>
      <c r="C3" s="1" t="s">
        <v>61</v>
      </c>
      <c r="D3" s="1" t="s">
        <v>62</v>
      </c>
    </row>
    <row r="4" customFormat="false" ht="109.5" hidden="false" customHeight="true" outlineLevel="0" collapsed="false">
      <c r="A4" s="2" t="n">
        <v>1</v>
      </c>
      <c r="B4" s="3" t="s">
        <v>63</v>
      </c>
      <c r="C4" s="3" t="s">
        <v>64</v>
      </c>
      <c r="D4" s="3" t="s">
        <v>65</v>
      </c>
    </row>
    <row r="5" customFormat="false" ht="109.5" hidden="false" customHeight="true" outlineLevel="0" collapsed="false">
      <c r="A5" s="2" t="n">
        <v>2</v>
      </c>
      <c r="B5" s="3" t="s">
        <v>66</v>
      </c>
      <c r="C5" s="3" t="s">
        <v>67</v>
      </c>
      <c r="D5" s="3" t="s">
        <v>68</v>
      </c>
    </row>
    <row r="6" customFormat="false" ht="109.5" hidden="false" customHeight="true" outlineLevel="0" collapsed="false">
      <c r="A6" s="2" t="n">
        <v>3</v>
      </c>
      <c r="B6" s="3" t="s">
        <v>69</v>
      </c>
      <c r="C6" s="3" t="s">
        <v>70</v>
      </c>
      <c r="D6" s="3" t="s">
        <v>71</v>
      </c>
    </row>
    <row r="7" customFormat="false" ht="109.5" hidden="false" customHeight="true" outlineLevel="0" collapsed="false">
      <c r="A7" s="2" t="n">
        <v>4</v>
      </c>
      <c r="B7" s="3" t="s">
        <v>72</v>
      </c>
      <c r="C7" s="3" t="s">
        <v>73</v>
      </c>
      <c r="D7" s="3" t="s">
        <v>74</v>
      </c>
    </row>
    <row r="8" customFormat="false" ht="109.5" hidden="false" customHeight="true" outlineLevel="0" collapsed="false">
      <c r="A8" s="2" t="n">
        <v>5</v>
      </c>
      <c r="B8" s="3" t="s">
        <v>75</v>
      </c>
      <c r="C8" s="3" t="s">
        <v>76</v>
      </c>
      <c r="D8" s="3" t="s">
        <v>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8"/>
  </cols>
  <sheetData>
    <row r="1" customFormat="false" ht="16.15" hidden="false" customHeight="false" outlineLevel="0" collapsed="false">
      <c r="A1" s="5" t="s">
        <v>78</v>
      </c>
      <c r="B1" s="5"/>
      <c r="C1" s="5"/>
      <c r="D1" s="5"/>
      <c r="E1" s="5"/>
    </row>
    <row r="3" customFormat="false" ht="26.85" hidden="false" customHeight="false" outlineLevel="0" collapsed="false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</row>
    <row r="4" customFormat="false" ht="15" hidden="false" customHeight="false" outlineLevel="0" collapsed="false">
      <c r="A4" s="3" t="n">
        <v>1</v>
      </c>
      <c r="B4" s="3" t="n">
        <v>-18125.75</v>
      </c>
      <c r="C4" s="3" t="n">
        <v>0</v>
      </c>
      <c r="D4" s="3" t="n">
        <v>23.39</v>
      </c>
      <c r="E4" s="3" t="n">
        <v>-7802.53</v>
      </c>
      <c r="F4" s="3" t="n">
        <v>15.26</v>
      </c>
      <c r="G4" s="3" t="n">
        <v>0.26</v>
      </c>
    </row>
    <row r="5" customFormat="false" ht="15" hidden="false" customHeight="false" outlineLevel="0" collapsed="false">
      <c r="A5" s="3" t="n">
        <v>2</v>
      </c>
      <c r="B5" s="3" t="n">
        <v>-17237.75</v>
      </c>
      <c r="C5" s="3" t="n">
        <v>57.99</v>
      </c>
      <c r="D5" s="3" t="n">
        <v>22.92</v>
      </c>
      <c r="E5" s="3" t="n">
        <v>-6920.37</v>
      </c>
      <c r="F5" s="3" t="n">
        <v>35.7</v>
      </c>
      <c r="G5" s="3" t="n">
        <v>0.2</v>
      </c>
    </row>
    <row r="6" customFormat="false" ht="15" hidden="false" customHeight="false" outlineLevel="0" collapsed="false">
      <c r="A6" s="3" t="n">
        <v>3</v>
      </c>
      <c r="B6" s="3" t="n">
        <v>-19227.25</v>
      </c>
      <c r="C6" s="3" t="n">
        <v>0</v>
      </c>
      <c r="D6" s="3" t="n">
        <v>22.95</v>
      </c>
      <c r="E6" s="3" t="n">
        <v>-8712.5</v>
      </c>
      <c r="F6" s="3" t="n">
        <v>3.31</v>
      </c>
      <c r="G6" s="3" t="n">
        <v>0.19</v>
      </c>
    </row>
    <row r="7" customFormat="false" ht="15" hidden="false" customHeight="false" outlineLevel="0" collapsed="false">
      <c r="A7" s="3" t="n">
        <v>4</v>
      </c>
      <c r="B7" s="3" t="n">
        <v>-16507</v>
      </c>
      <c r="C7" s="3" t="n">
        <v>0</v>
      </c>
      <c r="D7" s="3" t="n">
        <v>24.39</v>
      </c>
      <c r="E7" s="3" t="n">
        <v>-5513.83</v>
      </c>
      <c r="F7" s="3" t="n">
        <v>4.39</v>
      </c>
      <c r="G7" s="3" t="n">
        <v>0.15</v>
      </c>
    </row>
    <row r="8" customFormat="false" ht="15" hidden="false" customHeight="false" outlineLevel="0" collapsed="false">
      <c r="A8" s="3" t="n">
        <v>5</v>
      </c>
      <c r="B8" s="3" t="n">
        <v>-18146.25</v>
      </c>
      <c r="C8" s="3" t="n">
        <v>-4.5</v>
      </c>
      <c r="D8" s="3" t="n">
        <v>22.9</v>
      </c>
      <c r="E8" s="3" t="n">
        <v>-3295.27</v>
      </c>
      <c r="F8" s="3" t="n">
        <v>12.26</v>
      </c>
      <c r="G8" s="3" t="n">
        <v>0.15</v>
      </c>
    </row>
    <row r="9" customFormat="false" ht="15" hidden="false" customHeight="false" outlineLevel="0" collapsed="false">
      <c r="A9" s="3" t="n">
        <v>6</v>
      </c>
      <c r="B9" s="3"/>
      <c r="C9" s="3"/>
      <c r="D9" s="3"/>
      <c r="E9" s="3" t="n">
        <v>-6075.14</v>
      </c>
      <c r="F9" s="3" t="n">
        <v>2.46</v>
      </c>
      <c r="G9" s="3" t="n">
        <v>0.18</v>
      </c>
    </row>
    <row r="10" customFormat="false" ht="15" hidden="false" customHeight="false" outlineLevel="0" collapsed="false">
      <c r="A10" s="3" t="n">
        <v>7</v>
      </c>
      <c r="B10" s="3"/>
      <c r="C10" s="3"/>
      <c r="D10" s="3"/>
      <c r="E10" s="3" t="n">
        <v>-1908.6</v>
      </c>
      <c r="F10" s="3" t="n">
        <v>-1.13</v>
      </c>
      <c r="G10" s="3" t="n">
        <v>0.16</v>
      </c>
    </row>
    <row r="11" customFormat="false" ht="15" hidden="false" customHeight="false" outlineLevel="0" collapsed="false">
      <c r="A11" s="3" t="n">
        <v>8</v>
      </c>
      <c r="B11" s="3"/>
      <c r="C11" s="3"/>
      <c r="D11" s="3"/>
      <c r="E11" s="3" t="n">
        <v>-1703.72</v>
      </c>
      <c r="F11" s="3" t="n">
        <v>2.34</v>
      </c>
      <c r="G11" s="3" t="n">
        <v>0.14</v>
      </c>
    </row>
    <row r="12" customFormat="false" ht="15" hidden="false" customHeight="false" outlineLevel="0" collapsed="false">
      <c r="A12" s="3" t="n">
        <v>9</v>
      </c>
      <c r="B12" s="3"/>
      <c r="C12" s="3"/>
      <c r="D12" s="3"/>
      <c r="E12" s="3" t="n">
        <v>-1398.92</v>
      </c>
      <c r="F12" s="3" t="n">
        <v>-0.15</v>
      </c>
      <c r="G12" s="3" t="n">
        <v>0.14</v>
      </c>
    </row>
    <row r="13" customFormat="false" ht="15" hidden="false" customHeight="false" outlineLevel="0" collapsed="false">
      <c r="A13" s="3" t="n">
        <v>10</v>
      </c>
      <c r="B13" s="3"/>
      <c r="C13" s="3"/>
      <c r="D13" s="3"/>
      <c r="E13" s="3" t="n">
        <v>-1618.19</v>
      </c>
      <c r="F13" s="3" t="n">
        <v>0.61</v>
      </c>
      <c r="G13" s="3" t="n">
        <v>0.13</v>
      </c>
    </row>
    <row r="14" customFormat="false" ht="15" hidden="false" customHeight="false" outlineLevel="0" collapsed="false">
      <c r="A14" s="6" t="s">
        <v>86</v>
      </c>
      <c r="B14" s="6" t="n">
        <f aca="false">AVERAGE(B4:B8)</f>
        <v>-17848.8</v>
      </c>
      <c r="C14" s="6" t="n">
        <f aca="false">AVERAGE(C4:C8)</f>
        <v>10.698</v>
      </c>
      <c r="D14" s="6" t="n">
        <f aca="false">AVERAGE(D4:D8)</f>
        <v>23.31</v>
      </c>
      <c r="E14" s="6" t="n">
        <f aca="false">AVERAGE(E9:E13)</f>
        <v>-2540.914</v>
      </c>
      <c r="F14" s="6" t="n">
        <f aca="false">AVERAGE(F9:F13)</f>
        <v>0.826</v>
      </c>
      <c r="G14" s="6" t="n">
        <f aca="false">AVERAGE(G9:G13)</f>
        <v>0.15</v>
      </c>
    </row>
    <row r="15" customFormat="false" ht="15" hidden="false" customHeight="false" outlineLevel="0" collapsed="false">
      <c r="A15" s="7" t="s">
        <v>87</v>
      </c>
      <c r="B15" s="8" t="n">
        <f aca="false">B14/E14</f>
        <v>7.02455887920646</v>
      </c>
      <c r="C15" s="7"/>
      <c r="D15" s="8" t="n">
        <f aca="false">D14/G14</f>
        <v>155.4</v>
      </c>
      <c r="E15" s="7"/>
      <c r="F15" s="7"/>
      <c r="G15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5"/>
  </cols>
  <sheetData>
    <row r="1" customFormat="false" ht="16.15" hidden="false" customHeight="false" outlineLevel="0" collapsed="false">
      <c r="A1" s="5" t="s">
        <v>88</v>
      </c>
      <c r="B1" s="5"/>
    </row>
    <row r="3" customFormat="false" ht="15" hidden="false" customHeight="false" outlineLevel="0" collapsed="false">
      <c r="A3" s="9" t="s">
        <v>89</v>
      </c>
      <c r="B3" s="10" t="s">
        <v>90</v>
      </c>
    </row>
    <row r="4" customFormat="false" ht="15" hidden="false" customHeight="false" outlineLevel="0" collapsed="false">
      <c r="A4" s="9" t="s">
        <v>91</v>
      </c>
      <c r="B4" s="10" t="s">
        <v>92</v>
      </c>
    </row>
    <row r="5" customFormat="false" ht="15" hidden="false" customHeight="false" outlineLevel="0" collapsed="false">
      <c r="A5" s="9" t="s">
        <v>93</v>
      </c>
      <c r="B5" s="10" t="s">
        <v>94</v>
      </c>
    </row>
    <row r="6" customFormat="false" ht="15" hidden="false" customHeight="false" outlineLevel="0" collapsed="false">
      <c r="A6" s="9" t="s">
        <v>95</v>
      </c>
      <c r="B6" s="10" t="s">
        <v>96</v>
      </c>
    </row>
    <row r="7" customFormat="false" ht="15" hidden="false" customHeight="false" outlineLevel="0" collapsed="false">
      <c r="A7" s="9" t="s">
        <v>97</v>
      </c>
      <c r="B7" s="10" t="s">
        <v>98</v>
      </c>
    </row>
    <row r="8" customFormat="false" ht="15" hidden="false" customHeight="false" outlineLevel="0" collapsed="false">
      <c r="A8" s="9" t="s">
        <v>99</v>
      </c>
      <c r="B8" s="10" t="s">
        <v>100</v>
      </c>
    </row>
    <row r="9" customFormat="false" ht="15" hidden="false" customHeight="false" outlineLevel="0" collapsed="false">
      <c r="A9" s="9" t="s">
        <v>101</v>
      </c>
      <c r="B9" s="10" t="s">
        <v>102</v>
      </c>
    </row>
    <row r="10" customFormat="false" ht="15" hidden="false" customHeight="false" outlineLevel="0" collapsed="false">
      <c r="A10" s="9" t="s">
        <v>103</v>
      </c>
      <c r="B10" s="10" t="s">
        <v>104</v>
      </c>
    </row>
    <row r="11" customFormat="false" ht="15" hidden="false" customHeight="false" outlineLevel="0" collapsed="false">
      <c r="A11" s="9" t="s">
        <v>105</v>
      </c>
      <c r="B11" s="10" t="s">
        <v>106</v>
      </c>
    </row>
    <row r="12" customFormat="false" ht="15" hidden="false" customHeight="false" outlineLevel="0" collapsed="false">
      <c r="A12" s="9" t="s">
        <v>107</v>
      </c>
      <c r="B12" s="10" t="s">
        <v>108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2026-04-15T07:02:27Z</dcterms:created>
  <dc:creator>openpyxl</dc:creator>
  <dc:description/>
  <dc:language>en-US</dc:language>
  <cp:lastModifiedBy/>
  <dcterms:modified xsi:type="dcterms:W3CDTF">2026-04-15T07:02:27Z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